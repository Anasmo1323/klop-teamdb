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echnowave\Sales\Klop software\"/>
    </mc:Choice>
  </mc:AlternateContent>
  <xr:revisionPtr revIDLastSave="0" documentId="13_ncr:1_{3920C3A9-6447-4DEF-9500-801C856032C3}" xr6:coauthVersionLast="47" xr6:coauthVersionMax="47" xr10:uidLastSave="{00000000-0000-0000-0000-000000000000}"/>
  <bookViews>
    <workbookView xWindow="-120" yWindow="-120" windowWidth="29040" windowHeight="15720" xr2:uid="{45294DF0-79C6-4B85-9159-7330D8B89F3A}"/>
  </bookViews>
  <sheets>
    <sheet name="UPA KLS" sheetId="1" r:id="rId1"/>
  </sheets>
  <externalReferences>
    <externalReference r:id="rId2"/>
  </externalReferences>
  <definedNames>
    <definedName name="_xlnm._FilterDatabase" localSheetId="0">'UPA KLS'!$F$5:$F$10</definedName>
    <definedName name="LastEntry">MIN(ROW(LeadData[]))+ROWS(LeadData[])-1</definedName>
    <definedName name="_xlnm.Print_Area" localSheetId="0">'UPA KLS'!$A$1:$H$12</definedName>
    <definedName name="_xlnm.Print_Titles" localSheetId="0">'UPA KLS'!$5:$5</definedName>
    <definedName name="RowTitleRegion1..N22">#REF!</definedName>
    <definedName name="Starting_row">MIN(ROW(LeadData[]))+1</definedName>
    <definedName name="Title1">LeadData[[#Headers],[Customer name]]</definedName>
    <definedName name="Title2">#REF!</definedName>
    <definedName name="TrackerDate">'UPA KLS'!$G$3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2" i="1" s="1"/>
  <c r="D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<sst xmlns="http://schemas.openxmlformats.org/spreadsheetml/2006/main" count="26" uniqueCount="19">
  <si>
    <t>UPA External Contracts for KLS Martin 2026</t>
  </si>
  <si>
    <t>Customer name</t>
  </si>
  <si>
    <t>Supplier</t>
  </si>
  <si>
    <t>Contract value</t>
  </si>
  <si>
    <t>TW commission 
%</t>
  </si>
  <si>
    <t xml:space="preserve">Expected collection period </t>
  </si>
  <si>
    <t>TW Commission Value</t>
  </si>
  <si>
    <t>UPA A1</t>
  </si>
  <si>
    <t>KLS Martin</t>
  </si>
  <si>
    <t>Delivered</t>
  </si>
  <si>
    <t>UPA A2</t>
  </si>
  <si>
    <t>UPA A3</t>
  </si>
  <si>
    <t>UPA A4</t>
  </si>
  <si>
    <t>Delivered and Payment Received</t>
  </si>
  <si>
    <t>UPA A8</t>
  </si>
  <si>
    <t>Total</t>
  </si>
  <si>
    <t>Total Commission in EGP</t>
  </si>
  <si>
    <t>signed 2026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</si>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</sst>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-&quot;$&quot;* #,##0_-;\-&quot;$&quot;* #,##0_-;_-&quot;$&quot;* &quot;-&quot;_-;_-@_-"/>
    <numFmt numFmtId="164" formatCode="[$€-2]\ #,##0.00"/>
    <numFmt numFmtId="165" formatCode="[$€-2]\ #,##0"/>
    <numFmt numFmtId="166" formatCode="[$EGP]\ #,##0"/>
  </numFmts>
  <fonts count="19" x14ac:knownFonts="1"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8"/>
      <color theme="1"/>
      <name val="Constantia"/>
      <family val="1"/>
      <scheme val="major"/>
    </font>
    <font>
      <sz val="18"/>
      <color theme="1"/>
      <name val="Franklin Gothic Medium"/>
      <family val="2"/>
    </font>
    <font>
      <sz val="18"/>
      <color theme="1" tint="0.14996795556505021"/>
      <name val="Franklin Gothic Book"/>
      <family val="2"/>
      <scheme val="minor"/>
    </font>
    <font>
      <b/>
      <sz val="24"/>
      <name val="Franklin Gothic Medium"/>
      <family val="2"/>
    </font>
    <font>
      <b/>
      <sz val="36"/>
      <color rgb="FF000000"/>
      <name val="Franklin Gothic Medium"/>
      <family val="2"/>
    </font>
    <font>
      <b/>
      <sz val="14"/>
      <color theme="1"/>
      <name val="Franklin Gothic Book"/>
      <family val="2"/>
      <scheme val="minor"/>
    </font>
    <font>
      <b/>
      <sz val="14"/>
      <color theme="3"/>
      <name val="Franklin Gothic Book"/>
      <family val="2"/>
      <scheme val="minor"/>
    </font>
    <font>
      <b/>
      <sz val="12"/>
      <color theme="1" tint="0.14996795556505021"/>
      <name val="Franklin Gothic Book"/>
      <family val="2"/>
      <scheme val="minor"/>
    </font>
    <font>
      <b/>
      <sz val="14"/>
      <color theme="1"/>
      <name val="Franklin Gothic Medium"/>
      <family val="2"/>
    </font>
    <font>
      <sz val="12"/>
      <color theme="1" tint="0.14996795556505021"/>
      <name val="Franklin Gothic Book"/>
      <family val="2"/>
      <scheme val="minor"/>
    </font>
    <font>
      <sz val="12"/>
      <color theme="1" tint="4.9989318521683403E-2"/>
      <name val="Franklin Gothic Book"/>
      <family val="2"/>
      <scheme val="minor"/>
    </font>
    <font>
      <sz val="11"/>
      <color theme="1" tint="0.14996795556505021"/>
      <name val="Franklin Gothic Book"/>
      <family val="2"/>
      <scheme val="minor"/>
    </font>
    <font>
      <b/>
      <sz val="12"/>
      <name val="Franklin Gothic Book"/>
      <family val="2"/>
      <scheme val="minor"/>
    </font>
    <font>
      <b/>
      <sz val="16"/>
      <name val="Franklin Gothic Medium"/>
      <family val="2"/>
    </font>
    <font>
      <b/>
      <sz val="16"/>
      <name val="Franklin Gothic Book"/>
      <family val="2"/>
      <scheme val="minor"/>
    </font>
    <font>
      <b/>
      <sz val="20"/>
      <color theme="1" tint="4.9989318521683403E-2"/>
      <name val="Franklin Gothic Book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</borders>
  <cellStyleXfs count="6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14" fillId="0" borderId="0" applyNumberFormat="0" applyFont="0" applyFill="0" applyBorder="0">
      <alignment horizontal="left" vertical="center" indent="3"/>
    </xf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indent="2"/>
    </xf>
    <xf numFmtId="0" fontId="0" fillId="0" borderId="0" xfId="0" applyAlignment="1">
      <alignment horizontal="right" vertical="top" wrapText="1" indent="1"/>
    </xf>
    <xf numFmtId="0" fontId="6" fillId="2" borderId="0" xfId="0" applyFont="1" applyFill="1" applyAlignment="1">
      <alignment horizontal="left" indent="2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right" vertical="top" wrapText="1" indent="1"/>
    </xf>
    <xf numFmtId="0" fontId="9" fillId="0" borderId="1" xfId="3" applyFont="1" applyFill="1" applyAlignment="1">
      <alignment horizontal="right" vertical="top" indent="1"/>
    </xf>
    <xf numFmtId="0" fontId="10" fillId="0" borderId="0" xfId="0" applyFont="1"/>
    <xf numFmtId="0" fontId="11" fillId="3" borderId="0" xfId="4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 applyAlignment="1">
      <alignment horizontal="center" vertical="center" wrapText="1"/>
    </xf>
    <xf numFmtId="164" fontId="13" fillId="0" borderId="0" xfId="1" applyNumberFormat="1" applyFont="1" applyFill="1" applyBorder="1" applyAlignment="1">
      <alignment horizontal="center" vertical="center"/>
    </xf>
    <xf numFmtId="9" fontId="13" fillId="0" borderId="0" xfId="2" applyFont="1" applyFill="1" applyBorder="1" applyAlignment="1">
      <alignment horizontal="center" vertical="center"/>
    </xf>
    <xf numFmtId="17" fontId="13" fillId="0" borderId="0" xfId="5" applyNumberFormat="1" applyFont="1" applyFill="1" applyBorder="1" applyAlignment="1">
      <alignment horizontal="center" vertical="center"/>
    </xf>
    <xf numFmtId="0" fontId="13" fillId="0" borderId="0" xfId="5" applyFont="1" applyFill="1" applyBorder="1" applyAlignment="1">
      <alignment horizontal="center" vertical="center" wrapText="1"/>
    </xf>
    <xf numFmtId="164" fontId="13" fillId="4" borderId="0" xfId="1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166" fontId="16" fillId="5" borderId="4" xfId="0" applyNumberFormat="1" applyFont="1" applyFill="1" applyBorder="1" applyAlignment="1">
      <alignment horizontal="center" vertical="center"/>
    </xf>
    <xf numFmtId="0" fontId="13" fillId="5" borderId="5" xfId="5" applyFont="1" applyFill="1" applyBorder="1" applyAlignment="1">
      <alignment horizontal="center" vertical="center" wrapText="1"/>
    </xf>
  </cellXfs>
  <cellStyles count="6">
    <cellStyle name="Currency [0]" xfId="1" builtinId="7"/>
    <cellStyle name="Forecast Close" xfId="5" xr:uid="{E888BCF3-0304-464E-93CE-04DE6B1A8EF8}"/>
    <cellStyle name="Heading 3" xfId="3" builtinId="18"/>
    <cellStyle name="Heading 4" xfId="4" builtinId="19"/>
    <cellStyle name="Normal" xfId="0" builtinId="0"/>
    <cellStyle name="Percent" xfId="2" builtinId="5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Book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family val="2"/>
        <scheme val="none"/>
      </font>
      <numFmt numFmtId="165" formatCode="[$€-2]\ 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Book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family val="2"/>
        <scheme val="none"/>
      </font>
      <numFmt numFmtId="165" formatCode="[$€-2]\ 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Franklin Gothic Medium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Franklin Gothic Book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family val="2"/>
        <scheme val="minor"/>
      </font>
      <numFmt numFmtId="164" formatCode="[$€-2]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family val="2"/>
        <scheme val="minor"/>
      </font>
      <numFmt numFmtId="22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Franklin Gothic Book"/>
        <family val="2"/>
        <scheme val="minor"/>
      </font>
      <numFmt numFmtId="164" formatCode="[$€-2]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Franklin Gothic Book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auto="1"/>
        <name val="Franklin Gothic Book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Franklin Gothic Book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Franklin Gothic Medium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1"/>
      </font>
      <border>
        <left/>
        <right/>
        <top style="thick">
          <color theme="0"/>
        </top>
        <bottom/>
        <vertical style="thick">
          <color theme="0"/>
        </vertical>
        <horizontal style="thick">
          <color theme="0"/>
        </horizontal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left/>
        <right/>
        <top/>
        <bottom style="thick">
          <color theme="5"/>
        </bottom>
        <vertical style="thick">
          <color theme="5"/>
        </vertical>
        <horizontal style="thick">
          <color theme="5"/>
        </horizontal>
      </border>
    </dxf>
    <dxf>
      <fill>
        <patternFill>
          <bgColor theme="5"/>
        </patternFill>
      </fill>
      <border>
        <left/>
        <right/>
        <top/>
        <bottom/>
        <vertical style="thick">
          <color theme="0"/>
        </vertical>
        <horizontal style="thick">
          <color theme="0"/>
        </horizontal>
      </border>
    </dxf>
  </dxfs>
  <tableStyles count="2" defaultTableStyle="TableStyleMedium2" defaultPivotStyle="PivotStyleLight16">
    <tableStyle name="Invisible" pivot="0" table="0" count="0" xr9:uid="{E97797D9-8FE3-4890-8E4C-302E9B9D7D5E}"/>
    <tableStyle name="TableStyleMedium1 2" pivot="0" count="3" xr9:uid="{3992AE64-CAE8-4176-9EE8-49EF8D7F03D0}">
      <tableStyleElement type="wholeTable" dxfId="19"/>
      <tableStyleElement type="headerRow" dxfId="18"/>
      <tableStyleElement type="totalRow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25400</xdr:rowOff>
    </xdr:from>
    <xdr:to>
      <xdr:col>2</xdr:col>
      <xdr:colOff>0</xdr:colOff>
      <xdr:row>1</xdr:row>
      <xdr:rowOff>132781</xdr:rowOff>
    </xdr:to>
    <xdr:pic>
      <xdr:nvPicPr>
        <xdr:cNvPr id="2" name="Picture 554600501">
          <a:extLst>
            <a:ext uri="{FF2B5EF4-FFF2-40B4-BE49-F238E27FC236}">
              <a16:creationId xmlns:a16="http://schemas.microsoft.com/office/drawing/2014/main" id="{34664510-C683-4BBF-832C-32FDB8426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5400"/>
          <a:ext cx="2200275" cy="8693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0</xdr:row>
      <xdr:rowOff>18143</xdr:rowOff>
    </xdr:from>
    <xdr:to>
      <xdr:col>7</xdr:col>
      <xdr:colOff>731937</xdr:colOff>
      <xdr:row>1</xdr:row>
      <xdr:rowOff>27213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93C75-B7D3-4210-9718-2F664A5D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53475" y="18143"/>
          <a:ext cx="2522637" cy="77107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echnowave\Sales\KLS%20Martin\Target\Final\2026%20Forecast.xlsx" TargetMode="External"/><Relationship Id="rId1" Type="http://schemas.openxmlformats.org/officeDocument/2006/relationships/externalLinkPath" Target="/Technowave/Sales/KLS%20Martin/Target/Final/2026%20Foreca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Table Of Content"/>
      <sheetName val="2026 Target"/>
      <sheetName val="UPA KLS"/>
      <sheetName val="PO KLS"/>
      <sheetName val="KLS Pipeline"/>
      <sheetName val="UPA Medbot"/>
      <sheetName val="UPA Diagon"/>
      <sheetName val="Work Volume"/>
      <sheetName val="Fixed Assests"/>
      <sheetName val="S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540E3-EB2A-4DA2-83C5-EB612FF51466}" name="LeadData" displayName="LeadData" ref="B5:H11" totalsRowCount="1" headerRowDxfId="16" dataDxfId="15" totalsRowDxfId="14">
  <autoFilter ref="B5:H1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7E814E60-FB7A-41E7-AD70-6E167D6786B3}" name="Customer name" dataDxfId="13" totalsRowDxfId="6"/>
    <tableColumn id="5" xr3:uid="{349604B3-661F-44EB-937B-8691278776A8}" name="Supplier" totalsRowLabel="Total" dataDxfId="12" totalsRowDxfId="5"/>
    <tableColumn id="6" xr3:uid="{DA9A8DAF-94D0-4E76-A65B-F6AFF58C603F}" name="Contract value" totalsRowFunction="sum" dataDxfId="11" totalsRowDxfId="4" dataCellStyle="Currency [0]"/>
    <tableColumn id="7" xr3:uid="{0D1B10C4-8726-4B8D-AE93-296538F70126}" name="TW commission _x000a_%" dataDxfId="10" totalsRowDxfId="3" dataCellStyle="Percent"/>
    <tableColumn id="8" xr3:uid="{45D9EDFF-274B-489D-9CB9-614FDEFC3A15}" name="Expected collection period " totalsRowLabel="Total" dataDxfId="9" totalsRowDxfId="2" dataCellStyle="Forecast Close"/>
    <tableColumn id="9" xr3:uid="{662EFD21-B177-4B10-B1AA-ECCFF16C2A28}" name="TW Commission Value" totalsRowFunction="sum" dataDxfId="8" totalsRowDxfId="1" dataCellStyle="Currency [0]">
      <calculatedColumnFormula>LeadData[[#This Row],[Contract value]]*LeadData[[#This Row],[TW commission 
%]]</calculatedColumnFormula>
    </tableColumn>
    <tableColumn id="2" xr3:uid="{0AACD3A8-CCA9-4667-ADA4-C4B4A353043D}" name="Status" dataDxfId="7" totalsRowDxfId="0"/>
  </tableColumns>
  <tableStyleInfo name="TableStyleMedium1 2" showFirstColumn="0" showLastColumn="0" showRowStripes="0" showColumnStripes="0"/>
  <extLst>
    <ext xmlns:x14="http://schemas.microsoft.com/office/spreadsheetml/2009/9/main" uri="{504A1905-F514-4f6f-8877-14C23A59335A}">
      <x14:table altTextSummary="Enter Lead Name, Contact, Source, Type, Potential Opportunity, Chance of Sale, Forecast Closing month, and Weighted Forecast. Weighted Forecast is automatically calculated"/>
    </ext>
  </extLst>
</table>
</file>

<file path=xl/theme/theme1.xml><?xml version="1.0" encoding="utf-8"?>
<a:theme xmlns:a="http://schemas.openxmlformats.org/drawingml/2006/main" name="Theme1">
  <a:themeElements>
    <a:clrScheme name="Ski Company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CEC3B2"/>
      </a:accent1>
      <a:accent2>
        <a:srgbClr val="F5F2EE"/>
      </a:accent2>
      <a:accent3>
        <a:srgbClr val="9C6E4C"/>
      </a:accent3>
      <a:accent4>
        <a:srgbClr val="9F9585"/>
      </a:accent4>
      <a:accent5>
        <a:srgbClr val="E8D7C8"/>
      </a:accent5>
      <a:accent6>
        <a:srgbClr val="95785F"/>
      </a:accent6>
      <a:hlink>
        <a:srgbClr val="0563C1"/>
      </a:hlink>
      <a:folHlink>
        <a:srgbClr val="954F72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2B58-563E-42A1-8703-7452BA30C252}">
  <sheetPr>
    <tabColor theme="4"/>
    <pageSetUpPr autoPageBreaks="0" fitToPage="1"/>
  </sheetPr>
  <dimension ref="B1:I13"/>
  <sheetViews>
    <sheetView showGridLines="0" tabSelected="1" view="pageBreakPreview" topLeftCell="A2" zoomScale="85" zoomScaleNormal="100" zoomScaleSheetLayoutView="85" zoomScalePageLayoutView="99" workbookViewId="0">
      <selection activeCell="K5" sqref="K5"/>
    </sheetView>
  </sheetViews>
  <sheetFormatPr defaultColWidth="8.88671875" defaultRowHeight="30" customHeight="1" x14ac:dyDescent="0.3"/>
  <cols>
    <col min="1" max="1" width="2.88671875" customWidth="1"/>
    <col min="2" max="2" width="25.6640625" customWidth="1"/>
    <col min="3" max="3" width="17.33203125" customWidth="1"/>
    <col min="4" max="4" width="19.33203125" bestFit="1" customWidth="1"/>
    <col min="5" max="5" width="18.6640625" customWidth="1"/>
    <col min="6" max="6" width="18.21875" customWidth="1"/>
    <col min="7" max="7" width="20.88671875" customWidth="1"/>
    <col min="8" max="8" width="16.33203125" customWidth="1"/>
  </cols>
  <sheetData>
    <row r="1" spans="2:9" ht="60" customHeight="1" x14ac:dyDescent="0.4">
      <c r="B1" s="1"/>
      <c r="C1" s="1"/>
      <c r="D1" s="1"/>
      <c r="E1" s="1"/>
      <c r="F1" s="2"/>
      <c r="G1" s="3"/>
      <c r="H1" s="4"/>
      <c r="I1" s="5"/>
    </row>
    <row r="2" spans="2:9" ht="34.5" customHeight="1" x14ac:dyDescent="0.4">
      <c r="B2" s="6"/>
      <c r="C2" s="1"/>
      <c r="D2" s="1"/>
      <c r="E2" s="1"/>
      <c r="F2" s="1"/>
      <c r="G2" s="4"/>
      <c r="H2" s="4"/>
      <c r="I2" s="5"/>
    </row>
    <row r="3" spans="2:9" ht="60" customHeight="1" x14ac:dyDescent="0.4">
      <c r="B3" s="7" t="s">
        <v>0</v>
      </c>
      <c r="C3" s="7"/>
      <c r="D3" s="7"/>
      <c r="E3" s="7"/>
      <c r="F3" s="7"/>
      <c r="G3" s="7"/>
      <c r="H3" s="4"/>
      <c r="I3" s="5"/>
    </row>
    <row r="4" spans="2:9" s="5" customFormat="1" ht="14.45" customHeight="1" thickBot="1" x14ac:dyDescent="0.35">
      <c r="C4" s="8"/>
      <c r="D4" s="8"/>
      <c r="E4" s="8"/>
      <c r="F4" s="9"/>
    </row>
    <row r="5" spans="2:9" s="10" customFormat="1" ht="60" customHeight="1" x14ac:dyDescent="0.3">
      <c r="B5" s="11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18</v>
      </c>
    </row>
    <row r="6" spans="2:9" s="12" customFormat="1" ht="50.1" customHeight="1" x14ac:dyDescent="0.3">
      <c r="B6" s="13" t="s">
        <v>7</v>
      </c>
      <c r="C6" s="13" t="s">
        <v>8</v>
      </c>
      <c r="D6" s="14">
        <v>1661367.5900000003</v>
      </c>
      <c r="E6" s="15">
        <v>0.09</v>
      </c>
      <c r="F6" s="16">
        <v>46082</v>
      </c>
      <c r="G6" s="14">
        <f>LeadData[[#This Row],[Contract value]]*LeadData[[#This Row],[TW commission 
%]]</f>
        <v>149523.08310000002</v>
      </c>
      <c r="H6" s="17" t="s">
        <v>9</v>
      </c>
    </row>
    <row r="7" spans="2:9" s="12" customFormat="1" ht="50.1" customHeight="1" x14ac:dyDescent="0.3">
      <c r="B7" s="13" t="s">
        <v>10</v>
      </c>
      <c r="C7" s="13" t="s">
        <v>8</v>
      </c>
      <c r="D7" s="14">
        <v>695524.62999999989</v>
      </c>
      <c r="E7" s="15">
        <v>0.09</v>
      </c>
      <c r="F7" s="16">
        <v>46266</v>
      </c>
      <c r="G7" s="14">
        <f>LeadData[[#This Row],[Contract value]]*LeadData[[#This Row],[TW commission 
%]]</f>
        <v>62597.21669999999</v>
      </c>
      <c r="H7" s="17" t="s">
        <v>9</v>
      </c>
    </row>
    <row r="8" spans="2:9" s="12" customFormat="1" ht="50.1" customHeight="1" x14ac:dyDescent="0.3">
      <c r="B8" s="13" t="s">
        <v>11</v>
      </c>
      <c r="C8" s="13" t="s">
        <v>8</v>
      </c>
      <c r="D8" s="14">
        <v>955653.93000000017</v>
      </c>
      <c r="E8" s="15">
        <v>0.09</v>
      </c>
      <c r="F8" s="16">
        <v>46266</v>
      </c>
      <c r="G8" s="14">
        <f>LeadData[[#This Row],[Contract value]]*LeadData[[#This Row],[TW commission 
%]]</f>
        <v>86008.853700000007</v>
      </c>
      <c r="H8" s="17" t="s">
        <v>9</v>
      </c>
    </row>
    <row r="9" spans="2:9" s="12" customFormat="1" ht="50.1" customHeight="1" x14ac:dyDescent="0.3">
      <c r="B9" s="13" t="s">
        <v>12</v>
      </c>
      <c r="C9" s="13" t="s">
        <v>8</v>
      </c>
      <c r="D9" s="14">
        <v>2127126.6</v>
      </c>
      <c r="E9" s="15">
        <v>0.09</v>
      </c>
      <c r="F9" s="17">
        <v>2025</v>
      </c>
      <c r="G9" s="18">
        <f>LeadData[[#This Row],[Contract value]]*LeadData[[#This Row],[TW commission 
%]]</f>
        <v>191441.394</v>
      </c>
      <c r="H9" s="17" t="s">
        <v>13</v>
      </c>
    </row>
    <row r="10" spans="2:9" s="12" customFormat="1" ht="76.5" customHeight="1" x14ac:dyDescent="0.3">
      <c r="B10" s="13" t="s">
        <v>14</v>
      </c>
      <c r="C10" s="13" t="s">
        <v>8</v>
      </c>
      <c r="D10" s="14">
        <v>1974069.01</v>
      </c>
      <c r="E10" s="15">
        <v>0.09</v>
      </c>
      <c r="F10" s="16">
        <v>46357</v>
      </c>
      <c r="G10" s="14">
        <f>LeadData[[#This Row],[Contract value]]*LeadData[[#This Row],[TW commission 
%]]</f>
        <v>177666.21090000001</v>
      </c>
      <c r="H10" s="17" t="s">
        <v>17</v>
      </c>
    </row>
    <row r="11" spans="2:9" s="19" customFormat="1" ht="38.450000000000003" customHeight="1" thickBot="1" x14ac:dyDescent="0.35">
      <c r="B11" s="20"/>
      <c r="C11" s="20" t="s">
        <v>15</v>
      </c>
      <c r="D11" s="21">
        <f>SUBTOTAL(109,LeadData[Contract value])</f>
        <v>7413741.7599999998</v>
      </c>
      <c r="E11" s="22"/>
      <c r="F11" s="20" t="s">
        <v>15</v>
      </c>
      <c r="G11" s="21">
        <f>SUBTOTAL(109,LeadData[TW Commission Value])</f>
        <v>667236.75839999993</v>
      </c>
      <c r="H11" s="22"/>
    </row>
    <row r="12" spans="2:9" s="12" customFormat="1" ht="41.45" customHeight="1" thickTop="1" thickBot="1" x14ac:dyDescent="0.35">
      <c r="B12" s="23" t="s">
        <v>16</v>
      </c>
      <c r="C12" s="23"/>
      <c r="D12" s="23"/>
      <c r="E12" s="23"/>
      <c r="F12" s="24"/>
      <c r="G12" s="25">
        <f>LeadData[[#Totals],[TW Commission Value]]*56.2321</f>
        <v>37520124.12202464</v>
      </c>
      <c r="H12" s="26"/>
    </row>
    <row r="13" spans="2:9" ht="30" customHeight="1" thickTop="1" x14ac:dyDescent="0.3"/>
  </sheetData>
  <mergeCells count="2">
    <mergeCell ref="B3:G3"/>
    <mergeCell ref="B12:F12"/>
  </mergeCells>
  <dataValidations count="8">
    <dataValidation type="list" errorStyle="warning" allowBlank="1" showInputMessage="1" showErrorMessage="1" error="Select a month from the list. Select CANCEL, then press ALT+DOWN ARROW to open drop-down list and ENTER to make selection" sqref="F6:F8 F10" xr:uid="{B6866C0D-D1EE-4D4E-AA7A-6CD9BD18D15E}">
      <formula1>"January, February, March, April, May, June, July, August, September, October, November, December"</formula1>
    </dataValidation>
    <dataValidation allowBlank="1" showInputMessage="1" showErrorMessage="1" prompt="Select Forecast Close month in this column under this heading.  Press ALT+DOWN ARROW to open drop-down list, then ENTER to make selection" sqref="F5 H12 F9 H5:H10" xr:uid="{78B83912-82E7-405E-ADF8-C26EACAE7A3E}"/>
    <dataValidation allowBlank="1" showInputMessage="1" showErrorMessage="1" prompt="Weighted Forecast based on Potential Opportunity and percent Chance of Sale is automatically calculated in this cell under this heading" sqref="G5" xr:uid="{89B0B087-E707-4E53-8BCB-21C9EEE512F4}"/>
    <dataValidation allowBlank="1" showInputMessage="1" showErrorMessage="1" prompt="Enter percent Chance of Sale in this column under this heading" sqref="E5" xr:uid="{45B6695E-BB1B-4DB5-9B94-ADCB259FBA64}"/>
    <dataValidation allowBlank="1" showInputMessage="1" showErrorMessage="1" prompt="Enter Potential Opportunity in this column under this heading" sqref="D5" xr:uid="{B730BF9C-797F-4118-AECF-0D41969069E9}"/>
    <dataValidation allowBlank="1" showInputMessage="1" showErrorMessage="1" prompt="Enter Lead Type in this column under this heading" sqref="C5" xr:uid="{C5710646-E369-4B29-87FD-6B28267457CF}"/>
    <dataValidation allowBlank="1" showInputMessage="1" showErrorMessage="1" prompt="Enter Lead Name in this column under this heading" sqref="B5" xr:uid="{0876542E-DE8B-456D-A640-7BBC86764350}"/>
    <dataValidation allowBlank="1" showInputMessage="1" showErrorMessage="1" prompt="Track Sales Leads in this workbook. Enter Sales Leads in this worksheet.  Weighted Forecast for each lead is automatically updated" sqref="A1" xr:uid="{67B3E82A-0B7F-45BD-98F7-6FBB704E242D}"/>
  </dataValidations>
  <printOptions horizontalCentered="1"/>
  <pageMargins left="0.38" right="0.39370078740157483" top="0.51181102362204722" bottom="0.53035714285714286" header="0.31496062992125984" footer="0.26"/>
  <pageSetup scale="81" fitToHeight="0" orientation="landscape" r:id="rId1"/>
  <headerFooter differentFirst="1">
    <firstFooter>&amp;L&amp;12       Prepared By: Eng. Albear Emil</first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UPA KLS</vt:lpstr>
      <vt:lpstr>'UPA KLS'!_FilterDatabase</vt:lpstr>
      <vt:lpstr>'UPA KLS'!Print_Area</vt:lpstr>
      <vt:lpstr>'UPA KLS'!Print_Titles</vt:lpstr>
      <vt:lpstr>Title1</vt:lpstr>
      <vt:lpstr>TrackerDate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Albear Emil</dc:creator>
  <cp:lastModifiedBy>Albear Emil</cp:lastModifiedBy>
  <dcterms:created xsi:type="dcterms:W3CDTF">2026-10-01T11:10:46Z</dcterms:created>
  <dcterms:modified xsi:type="dcterms:W3CDTF">2026-10-01T11:15:16Z</dcterms:modified>
</cp:coreProperties>
</file>
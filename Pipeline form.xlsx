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ipelines\"/>
    </mc:Choice>
  </mc:AlternateContent>
  <bookViews>
    <workbookView xWindow="0" yWindow="0" windowWidth="20490" windowHeight="7620"/>
  </bookViews>
  <sheets>
    <sheet name="KLS Pipeline" sheetId="1" r:id="rId1"/>
  </sheets>
  <externalReferences>
    <externalReference r:id="rId2"/>
  </externalReferences>
  <definedNames>
    <definedName name="_xlnm._FilterDatabase" localSheetId="0">'KLS Pipeline'!$G$5:$G$43</definedName>
    <definedName name="LastEntry" localSheetId="0">MIN(ROW(LeadData47[]))+ROWS(LeadData47[])-1</definedName>
    <definedName name="LastEntry">MIN(ROW([1]!LeadData[#Data]))+ROWS([1]!LeadData[#Data])-1</definedName>
    <definedName name="_xlnm.Print_Area" localSheetId="0">'KLS Pipeline'!$A$1:$I$45</definedName>
    <definedName name="_xlnm.Print_Titles" localSheetId="0">'KLS Pipeline'!$5:$5</definedName>
    <definedName name="RowTitleRegion1..N22">#REF!</definedName>
    <definedName name="Starting_row" localSheetId="0">MIN(ROW(LeadData47[]))+1</definedName>
    <definedName name="Starting_row">MIN(ROW([1]!LeadData[#Data]))+1</definedName>
    <definedName name="Title1" localSheetId="0">LeadData47[[#Headers],[Customer name]]</definedName>
    <definedName name="Title1">[1]!LeadData[[#Headers],[Customer name]]</definedName>
    <definedName name="Title2" localSheetId="0">#REF!</definedName>
    <definedName name="Title2">#REF!</definedName>
    <definedName name="TrackerDate" localSheetId="0">'KLS Pipeline'!$I$3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I42" i="1" l="1"/>
  <c r="I41" i="1" l="1"/>
  <c r="I34" i="1" l="1"/>
  <c r="I35" i="1"/>
  <c r="I36" i="1"/>
  <c r="I37" i="1"/>
  <c r="I38" i="1"/>
  <c r="I39" i="1"/>
  <c r="I40" i="1"/>
  <c r="I24" i="1" l="1"/>
  <c r="I25" i="1"/>
  <c r="I26" i="1"/>
  <c r="I27" i="1"/>
  <c r="I28" i="1"/>
  <c r="I29" i="1"/>
  <c r="I30" i="1"/>
  <c r="I31" i="1"/>
  <c r="I32" i="1"/>
  <c r="I33" i="1"/>
  <c r="I17" i="1" l="1"/>
  <c r="I18" i="1"/>
  <c r="I19" i="1"/>
  <c r="I20" i="1"/>
  <c r="I21" i="1"/>
  <c r="I22" i="1"/>
  <c r="I23" i="1"/>
  <c r="I12" i="1" l="1"/>
  <c r="I13" i="1"/>
  <c r="I14" i="1"/>
  <c r="I15" i="1"/>
  <c r="I16" i="1"/>
  <c r="E44" i="1" l="1"/>
  <c r="E45" i="1" s="1"/>
  <c r="I11" i="1"/>
  <c r="I10" i="1"/>
  <c r="I9" i="1"/>
  <c r="I8" i="1"/>
  <c r="I7" i="1"/>
  <c r="I6" i="1"/>
  <c r="I44" i="1" l="1"/>
  <c r="I45" i="1" s="1"/>
</calcChain>
</file>

<file path=xl/sharedStrings.xml><?xml version="1.0" encoding="utf-8"?>
<sst xmlns="http://schemas.openxmlformats.org/spreadsheetml/2006/main" count="109" uniqueCount="76">
  <si>
    <t xml:space="preserve"> KLS MARTIN PIPELINE 2026</t>
  </si>
  <si>
    <t>Customer name</t>
  </si>
  <si>
    <t>Type</t>
  </si>
  <si>
    <t>Quotations</t>
  </si>
  <si>
    <t>NET Profit %</t>
  </si>
  <si>
    <t xml:space="preserve">Probability </t>
  </si>
  <si>
    <t>Quotation Date</t>
  </si>
  <si>
    <t>TW Net Profit Value</t>
  </si>
  <si>
    <t>Delta University for Science and Technology</t>
  </si>
  <si>
    <t>private</t>
  </si>
  <si>
    <t>مستشفى الجامعى الجديد كلية طب الاسكندرية (الميرى)</t>
  </si>
  <si>
    <t>مستشفى الاطفال التخصصى ببنها</t>
  </si>
  <si>
    <t>Government</t>
  </si>
  <si>
    <t>Wady Nile Hospital</t>
  </si>
  <si>
    <t>Madinaty Medical Center</t>
  </si>
  <si>
    <t>private-Tender</t>
  </si>
  <si>
    <t>Total</t>
  </si>
  <si>
    <t>Total in EGP</t>
  </si>
  <si>
    <t>جامعة حلوان الأهلية</t>
  </si>
  <si>
    <t>Andalusia Hospital</t>
  </si>
  <si>
    <t>0079</t>
  </si>
  <si>
    <t>0078</t>
  </si>
  <si>
    <t>0077</t>
  </si>
  <si>
    <t>مستشفي لوران - الإسكندرية</t>
  </si>
  <si>
    <t>0075</t>
  </si>
  <si>
    <t>ABC Hospital</t>
  </si>
  <si>
    <t>0074</t>
  </si>
  <si>
    <t>مستشفي مصر الدولي</t>
  </si>
  <si>
    <t>0073</t>
  </si>
  <si>
    <t>معهد الكبد شبين الكوم</t>
  </si>
  <si>
    <t>0072</t>
  </si>
  <si>
    <t>فاطمة الزهراء اسامة السيد السعيد</t>
  </si>
  <si>
    <t>0070</t>
  </si>
  <si>
    <t>الشركة العربية البريطانية للصناعات الديناميكية( الهيئة العربية للتصنيع)</t>
  </si>
  <si>
    <t>0068</t>
  </si>
  <si>
    <t>0067</t>
  </si>
  <si>
    <t>جامعة الرياده للعلوم والتكنولوجيا</t>
  </si>
  <si>
    <t>0066</t>
  </si>
  <si>
    <t>مستشفى الانبا تكلا</t>
  </si>
  <si>
    <t>0035</t>
  </si>
  <si>
    <t>0040</t>
  </si>
  <si>
    <t>0041</t>
  </si>
  <si>
    <t>0044</t>
  </si>
  <si>
    <t>0065</t>
  </si>
  <si>
    <t xml:space="preserve">مستشفى التامين الصحى بالعاصمة </t>
  </si>
  <si>
    <t>0063</t>
  </si>
  <si>
    <t>متبرع (عناية د/ رفيق نجيب)</t>
  </si>
  <si>
    <t>0062</t>
  </si>
  <si>
    <t>0061</t>
  </si>
  <si>
    <t>0060</t>
  </si>
  <si>
    <t>0059</t>
  </si>
  <si>
    <t>0058</t>
  </si>
  <si>
    <t>مستشفى 500 500 لعلاج الأورام</t>
  </si>
  <si>
    <t>0057</t>
  </si>
  <si>
    <t>مركز جراحة القلب والصدر بدمياط</t>
  </si>
  <si>
    <t>معهد بحوث امراض العيون</t>
  </si>
  <si>
    <t>0054</t>
  </si>
  <si>
    <t>0053</t>
  </si>
  <si>
    <t>Misr University for Science and Technology</t>
  </si>
  <si>
    <t>0052</t>
  </si>
  <si>
    <t>0051</t>
  </si>
  <si>
    <t>مستشفى عين شمس التخصصى</t>
  </si>
  <si>
    <t>Operation Smile</t>
  </si>
  <si>
    <t>0055</t>
  </si>
  <si>
    <t>Dr Mohamed Shref El Topgy</t>
  </si>
  <si>
    <t>0050</t>
  </si>
  <si>
    <t>0049</t>
  </si>
  <si>
    <t>المقاولون العرب</t>
  </si>
  <si>
    <t>Dar Al Fouad Hospital, 6th of October</t>
  </si>
  <si>
    <t>0048</t>
  </si>
  <si>
    <t>0047</t>
  </si>
  <si>
    <t xml:space="preserve"> ABC HOSPITAL</t>
  </si>
  <si>
    <t>0043</t>
  </si>
  <si>
    <t>0042</t>
  </si>
  <si>
    <t>0038</t>
  </si>
  <si>
    <t>مستشفى الاكاديميه العربية للعلوم و التكنولوجيا و النقل البحري بالعلمين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</si>
</sst>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$&quot;* #,##0_-;\-&quot;$&quot;* #,##0_-;_-&quot;$&quot;* &quot;-&quot;_-;_-@_-"/>
    <numFmt numFmtId="165" formatCode="[$€-2]\ #,##0.00"/>
    <numFmt numFmtId="166" formatCode="[$€-2]\ #,##0"/>
    <numFmt numFmtId="167" formatCode="[$EGP]\ #,##0"/>
  </numFmts>
  <fonts count="23" x14ac:knownFonts="1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8"/>
      <color theme="1"/>
      <name val="Constantia"/>
      <family val="1"/>
      <scheme val="major"/>
    </font>
    <font>
      <sz val="18"/>
      <color theme="1"/>
      <name val="Franklin Gothic Medium"/>
      <family val="2"/>
    </font>
    <font>
      <b/>
      <sz val="24"/>
      <name val="Franklin Gothic Medium"/>
      <family val="2"/>
    </font>
    <font>
      <sz val="18"/>
      <color theme="1" tint="0.14996795556505021"/>
      <name val="Franklin Gothic Book"/>
      <family val="2"/>
      <scheme val="minor"/>
    </font>
    <font>
      <b/>
      <sz val="36"/>
      <color rgb="FF000000"/>
      <name val="Franklin Gothic Medium"/>
      <family val="2"/>
    </font>
    <font>
      <b/>
      <sz val="12"/>
      <color theme="1"/>
      <name val="Franklin Gothic Book"/>
      <family val="2"/>
      <scheme val="minor"/>
    </font>
    <font>
      <b/>
      <sz val="14"/>
      <color theme="1"/>
      <name val="Franklin Gothic Book"/>
      <family val="2"/>
      <scheme val="minor"/>
    </font>
    <font>
      <b/>
      <sz val="14"/>
      <color theme="3"/>
      <name val="Franklin Gothic Book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 tint="0.14996795556505021"/>
      <name val="Franklin Gothic Book"/>
      <family val="2"/>
      <scheme val="minor"/>
    </font>
    <font>
      <sz val="12"/>
      <color theme="1" tint="4.9989318521683403E-2"/>
      <name val="Franklin Gothic Book"/>
      <family val="2"/>
      <scheme val="minor"/>
    </font>
    <font>
      <sz val="11"/>
      <color theme="1" tint="0.14996795556505021"/>
      <name val="Franklin Gothic Book"/>
      <family val="2"/>
      <scheme val="minor"/>
    </font>
    <font>
      <sz val="12"/>
      <color theme="1" tint="0.14996795556505021"/>
      <name val="Franklin Gothic Book"/>
      <family val="2"/>
      <scheme val="minor"/>
    </font>
    <font>
      <b/>
      <sz val="12"/>
      <name val="Franklin Gothic Book"/>
      <family val="2"/>
      <scheme val="minor"/>
    </font>
    <font>
      <b/>
      <sz val="16"/>
      <name val="Franklin Gothic Medium"/>
      <family val="2"/>
    </font>
    <font>
      <sz val="12"/>
      <name val="Franklin Gothic Book"/>
      <family val="2"/>
      <scheme val="minor"/>
    </font>
    <font>
      <b/>
      <sz val="16"/>
      <name val="Franklin Gothic Medium"/>
    </font>
    <font>
      <b/>
      <sz val="16"/>
      <name val="Franklin Gothic Book"/>
      <scheme val="minor"/>
    </font>
    <font>
      <sz val="12"/>
      <color theme="1" tint="4.9989318521683403E-2"/>
      <name val="Franklin Gothic Book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5F3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5"/>
      </right>
      <top/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5" fillId="0" borderId="0" applyNumberFormat="0" applyFont="0" applyFill="0" applyBorder="0">
      <alignment horizontal="left" vertical="center" indent="3"/>
    </xf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indent="2"/>
    </xf>
    <xf numFmtId="0" fontId="7" fillId="2" borderId="0" xfId="0" applyFont="1" applyFill="1" applyAlignment="1">
      <alignment horizontal="right" indent="2"/>
    </xf>
    <xf numFmtId="14" fontId="9" fillId="2" borderId="1" xfId="3" applyNumberFormat="1" applyFont="1" applyFill="1" applyAlignment="1">
      <alignment horizontal="right" vertical="top" indent="2"/>
    </xf>
    <xf numFmtId="0" fontId="0" fillId="0" borderId="0" xfId="0" applyAlignment="1">
      <alignment horizontal="right" vertical="top" wrapText="1" indent="1"/>
    </xf>
    <xf numFmtId="0" fontId="10" fillId="0" borderId="0" xfId="0" applyFont="1" applyAlignment="1">
      <alignment horizontal="right" vertical="top" wrapText="1" indent="1"/>
    </xf>
    <xf numFmtId="0" fontId="11" fillId="0" borderId="2" xfId="4" applyFont="1" applyFill="1" applyAlignment="1">
      <alignment horizontal="right" vertical="top" indent="1"/>
    </xf>
    <xf numFmtId="0" fontId="12" fillId="3" borderId="0" xfId="5" applyFont="1" applyFill="1" applyBorder="1" applyAlignment="1">
      <alignment horizontal="center" vertical="center" wrapText="1"/>
    </xf>
    <xf numFmtId="0" fontId="12" fillId="3" borderId="0" xfId="5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165" fontId="14" fillId="0" borderId="0" xfId="1" applyNumberFormat="1" applyFont="1" applyFill="1" applyBorder="1" applyAlignment="1">
      <alignment horizontal="center" vertical="center"/>
    </xf>
    <xf numFmtId="9" fontId="14" fillId="0" borderId="0" xfId="2" applyFont="1" applyFill="1" applyBorder="1" applyAlignment="1">
      <alignment horizontal="center" vertical="center"/>
    </xf>
    <xf numFmtId="9" fontId="14" fillId="0" borderId="0" xfId="6" applyNumberFormat="1" applyFont="1" applyFill="1" applyBorder="1" applyAlignment="1">
      <alignment horizontal="center" vertical="center"/>
    </xf>
    <xf numFmtId="14" fontId="14" fillId="4" borderId="0" xfId="6" applyNumberFormat="1" applyFont="1" applyFill="1" applyBorder="1" applyAlignment="1">
      <alignment horizontal="center" vertical="center"/>
    </xf>
    <xf numFmtId="0" fontId="16" fillId="0" borderId="0" xfId="0" applyFont="1"/>
    <xf numFmtId="14" fontId="14" fillId="4" borderId="0" xfId="6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9" fontId="14" fillId="0" borderId="0" xfId="2" applyFont="1" applyFill="1" applyAlignment="1">
      <alignment horizontal="center" vertical="center"/>
    </xf>
    <xf numFmtId="14" fontId="14" fillId="4" borderId="0" xfId="6" applyNumberFormat="1" applyFont="1" applyFill="1" applyAlignment="1">
      <alignment horizontal="center" vertical="center"/>
    </xf>
    <xf numFmtId="165" fontId="14" fillId="0" borderId="0" xfId="1" applyNumberFormat="1" applyFont="1" applyFill="1" applyAlignment="1">
      <alignment horizontal="center" vertical="center"/>
    </xf>
    <xf numFmtId="0" fontId="17" fillId="0" borderId="0" xfId="0" applyFont="1"/>
    <xf numFmtId="9" fontId="14" fillId="0" borderId="0" xfId="6" applyNumberFormat="1" applyFont="1" applyFill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9" fontId="14" fillId="5" borderId="6" xfId="2" applyFont="1" applyFill="1" applyBorder="1" applyAlignment="1">
      <alignment horizontal="center" vertical="center"/>
    </xf>
    <xf numFmtId="0" fontId="8" fillId="2" borderId="0" xfId="0" applyFont="1" applyFill="1" applyAlignment="1">
      <alignment vertical="top"/>
    </xf>
    <xf numFmtId="49" fontId="0" fillId="2" borderId="0" xfId="0" applyNumberFormat="1" applyFill="1"/>
    <xf numFmtId="49" fontId="0" fillId="0" borderId="0" xfId="0" applyNumberFormat="1" applyAlignment="1">
      <alignment horizontal="right" vertical="top" wrapText="1" indent="1"/>
    </xf>
    <xf numFmtId="49" fontId="12" fillId="3" borderId="9" xfId="5" applyNumberFormat="1" applyFont="1" applyFill="1" applyBorder="1" applyAlignment="1">
      <alignment horizontal="center" vertical="center" wrapText="1"/>
    </xf>
    <xf numFmtId="49" fontId="14" fillId="5" borderId="7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19" fillId="6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0" fontId="22" fillId="0" borderId="0" xfId="6" applyFont="1" applyFill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</cellXfs>
  <cellStyles count="10">
    <cellStyle name="Currency [0]" xfId="1" builtinId="7"/>
    <cellStyle name="Forecast Close" xfId="6"/>
    <cellStyle name="Heading 2" xfId="3" builtinId="17"/>
    <cellStyle name="Heading 3" xfId="4" builtinId="18"/>
    <cellStyle name="Heading 4" xfId="5" builtinId="19"/>
    <cellStyle name="Normal" xfId="0" builtinId="0"/>
    <cellStyle name="Normal 16" xfId="7"/>
    <cellStyle name="Normal 16 2" xfId="8"/>
    <cellStyle name="Percent" xfId="2" builtinId="5"/>
    <cellStyle name="Percent 2" xfId="9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scheme val="none"/>
      </font>
      <numFmt numFmtId="166" formatCode="[$€-2]\ 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Book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Book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scheme val="none"/>
      </font>
      <numFmt numFmtId="166" formatCode="[$€-2]\ 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numFmt numFmtId="165" formatCode="[$€-2]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numFmt numFmtId="165" formatCode="[$€-2]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Franklin Gothic Book"/>
        <scheme val="none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D0D0D"/>
        <name val="Franklin Gothic Book"/>
        <scheme val="none"/>
      </font>
      <fill>
        <patternFill patternType="none">
          <fgColor rgb="FF000000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Franklin Gothic Medium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</font>
      <border>
        <left/>
        <right/>
        <top style="thick">
          <color theme="0"/>
        </top>
        <bottom/>
        <vertical style="thick">
          <color theme="0"/>
        </vertical>
        <horizontal style="thick">
          <color theme="0"/>
        </horizontal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left/>
        <right/>
        <top/>
        <bottom style="thick">
          <color theme="5"/>
        </bottom>
        <vertical style="thick">
          <color theme="5"/>
        </vertical>
        <horizontal style="thick">
          <color theme="5"/>
        </horizontal>
      </border>
    </dxf>
    <dxf>
      <fill>
        <patternFill>
          <bgColor theme="5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</dxfs>
  <tableStyles count="2" defaultTableStyle="TableStyleMedium2" defaultPivotStyle="PivotStyleLight16">
    <tableStyle name="Invisible" pivot="0" table="0" count="0"/>
    <tableStyle name="TableStyleMedium1 2" pivot="0" count="3">
      <tableStyleElement type="wholeTable" dxfId="19"/>
      <tableStyleElement type="headerRow" dxfId="18"/>
      <tableStyleElement type="totalRow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1587</xdr:rowOff>
    </xdr:from>
    <xdr:to>
      <xdr:col>3</xdr:col>
      <xdr:colOff>108857</xdr:colOff>
      <xdr:row>1</xdr:row>
      <xdr:rowOff>153743</xdr:rowOff>
    </xdr:to>
    <xdr:pic>
      <xdr:nvPicPr>
        <xdr:cNvPr id="2" name="Picture 554600501">
          <a:extLst>
            <a:ext uri="{FF2B5EF4-FFF2-40B4-BE49-F238E27FC236}">
              <a16:creationId xmlns:a16="http://schemas.microsoft.com/office/drawing/2014/main" id="{1FB21C9D-DF3B-440A-BA56-3B2552CC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8" y="1587"/>
          <a:ext cx="2311513" cy="914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605217</xdr:colOff>
      <xdr:row>0</xdr:row>
      <xdr:rowOff>45359</xdr:rowOff>
    </xdr:from>
    <xdr:to>
      <xdr:col>8</xdr:col>
      <xdr:colOff>1645581</xdr:colOff>
      <xdr:row>1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177D7-46CC-4E0F-9245-8424989A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2992" y="45359"/>
          <a:ext cx="2488165" cy="77107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chnowave\Sales\Target%202026\udated%20Target%202-6-2026\2026%20Target%20and%20Achievement%202-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able Of Content"/>
      <sheetName val="Sections 1"/>
      <sheetName val="2026 Target"/>
      <sheetName val="Sections 2"/>
      <sheetName val="UPA KLS"/>
      <sheetName val="Sections 3"/>
      <sheetName val="ON-HAND KLS"/>
      <sheetName val="Sections 4"/>
      <sheetName val="KLS Pipeline"/>
      <sheetName val="Sections 5"/>
      <sheetName val="UPA Medbot"/>
      <sheetName val="Sections 6"/>
      <sheetName val="UPA Diagon "/>
      <sheetName val="Sections 7"/>
      <sheetName val="Work Volume"/>
      <sheetName val="Sections 8"/>
      <sheetName val="Fixed Assest 1"/>
      <sheetName val="2026 Target and Achievement 2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ables/table1.xml><?xml version="1.0" encoding="utf-8"?>
<table xmlns="http://schemas.openxmlformats.org/spreadsheetml/2006/main" id="1" name="LeadData47" displayName="LeadData47" ref="C5:I44" totalsRowCount="1" headerRowDxfId="16" dataDxfId="15" totalsRowDxfId="14">
  <autoFilter ref="C5:I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ustomer name" dataDxfId="13" totalsRowDxfId="6"/>
    <tableColumn id="5" name="Type" totalsRowLabel="Total" dataDxfId="12" totalsRowDxfId="5"/>
    <tableColumn id="6" name="Quotations" totalsRowFunction="sum" dataDxfId="11" totalsRowDxfId="4" dataCellStyle="Currency [0]"/>
    <tableColumn id="7" name="NET Profit %" dataDxfId="10" totalsRowDxfId="3" dataCellStyle="Percent"/>
    <tableColumn id="8" name="Probability " dataDxfId="9" totalsRowDxfId="2" dataCellStyle="Forecast Close"/>
    <tableColumn id="3" name="Quotation Date" totalsRowLabel="Total" dataDxfId="8" totalsRowDxfId="1" dataCellStyle="Forecast Close"/>
    <tableColumn id="9" name="TW Net Profit Value" totalsRowFunction="sum" dataDxfId="7" totalsRowDxfId="0" dataCellStyle="Currency [0]">
      <calculatedColumnFormula>IFERROR(IF(LeadData47[[#This Row],[NET Profit %]]&lt;&gt;"",LeadData47[[#This Row],[NET Profit %]]*LeadData47[[#This Row],[Quotations]],""),"")</calculatedColumnFormula>
    </tableColumn>
  </tableColumns>
  <tableStyleInfo name="TableStyleMedium1 2" showFirstColumn="0" showLastColumn="0" showRowStripes="0" showColumnStripes="0"/>
  <extLst>
    <ext xmlns:x14="http://schemas.microsoft.com/office/spreadsheetml/2009/9/main" uri="{504A1905-F514-4f6f-8877-14C23A59335A}">
      <x14:table altTextSummary="Enter Lead Name, Contact, Source, Type, Potential Opportunity, Chance of Sale, Forecast Closing month, and Weighted Forecast. Weighted Forecast is automatically calculated"/>
    </ext>
  </extLst>
</table>
</file>

<file path=xl/theme/theme1.xml><?xml version="1.0" encoding="utf-8"?>
<a:theme xmlns:a="http://schemas.openxmlformats.org/drawingml/2006/main" name="Theme1">
  <a:themeElements>
    <a:clrScheme name="Ski Company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CEC3B2"/>
      </a:accent1>
      <a:accent2>
        <a:srgbClr val="F5F2EE"/>
      </a:accent2>
      <a:accent3>
        <a:srgbClr val="9C6E4C"/>
      </a:accent3>
      <a:accent4>
        <a:srgbClr val="9F9585"/>
      </a:accent4>
      <a:accent5>
        <a:srgbClr val="E8D7C8"/>
      </a:accent5>
      <a:accent6>
        <a:srgbClr val="95785F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B1:I46"/>
  <sheetViews>
    <sheetView showGridLines="0" tabSelected="1" topLeftCell="A34" zoomScale="80" zoomScaleNormal="80" zoomScaleSheetLayoutView="55" zoomScalePageLayoutView="70" workbookViewId="0">
      <selection activeCell="C47" sqref="C47"/>
    </sheetView>
  </sheetViews>
  <sheetFormatPr defaultColWidth="8.88671875" defaultRowHeight="30" customHeight="1" x14ac:dyDescent="0.3"/>
  <cols>
    <col min="1" max="1" width="2.88671875" customWidth="1"/>
    <col min="2" max="2" width="11.21875" style="33" customWidth="1"/>
    <col min="3" max="3" width="43.33203125" customWidth="1"/>
    <col min="4" max="4" width="17.33203125" customWidth="1"/>
    <col min="5" max="5" width="23.44140625" customWidth="1"/>
    <col min="6" max="6" width="18.6640625" customWidth="1"/>
    <col min="7" max="7" width="18.21875" customWidth="1"/>
    <col min="8" max="8" width="16.88671875" customWidth="1"/>
    <col min="9" max="9" width="25.33203125" customWidth="1"/>
  </cols>
  <sheetData>
    <row r="1" spans="2:9" ht="60" customHeight="1" x14ac:dyDescent="0.35">
      <c r="B1" s="29"/>
      <c r="C1" s="1"/>
      <c r="D1" s="1"/>
      <c r="E1" s="1"/>
      <c r="F1" s="1"/>
      <c r="G1" s="2"/>
      <c r="H1" s="2"/>
      <c r="I1" s="3"/>
    </row>
    <row r="2" spans="2:9" ht="24" customHeight="1" x14ac:dyDescent="0.4">
      <c r="B2" s="29"/>
      <c r="C2" s="4"/>
      <c r="D2" s="1"/>
      <c r="E2" s="1"/>
      <c r="F2" s="1"/>
      <c r="G2" s="1"/>
      <c r="H2" s="1"/>
      <c r="I2" s="5"/>
    </row>
    <row r="3" spans="2:9" ht="52.5" customHeight="1" thickBot="1" x14ac:dyDescent="0.35">
      <c r="B3" s="29"/>
      <c r="C3" s="28" t="s">
        <v>0</v>
      </c>
      <c r="D3" s="28"/>
      <c r="E3" s="28"/>
      <c r="F3" s="28"/>
      <c r="G3" s="28"/>
      <c r="H3" s="28"/>
      <c r="I3" s="6"/>
    </row>
    <row r="4" spans="2:9" s="7" customFormat="1" ht="27.6" customHeight="1" thickTop="1" thickBot="1" x14ac:dyDescent="0.35">
      <c r="B4" s="30"/>
      <c r="D4" s="8"/>
      <c r="E4" s="8"/>
      <c r="F4" s="8"/>
      <c r="G4" s="9"/>
      <c r="H4" s="9"/>
    </row>
    <row r="5" spans="2:9" s="12" customFormat="1" ht="60" customHeight="1" thickBot="1" x14ac:dyDescent="0.35">
      <c r="B5" s="31"/>
      <c r="C5" s="10" t="s">
        <v>1</v>
      </c>
      <c r="D5" s="10" t="s">
        <v>2</v>
      </c>
      <c r="E5" s="10" t="s">
        <v>3</v>
      </c>
      <c r="F5" s="11" t="s">
        <v>4</v>
      </c>
      <c r="G5" s="10" t="s">
        <v>5</v>
      </c>
      <c r="H5" s="11" t="s">
        <v>6</v>
      </c>
      <c r="I5" s="10" t="s">
        <v>7</v>
      </c>
    </row>
    <row r="6" spans="2:9" s="18" customFormat="1" ht="45.95" customHeight="1" thickTop="1" thickBot="1" x14ac:dyDescent="0.35">
      <c r="B6" s="32" t="s">
        <v>39</v>
      </c>
      <c r="C6" s="13" t="s">
        <v>8</v>
      </c>
      <c r="D6" s="13" t="s">
        <v>9</v>
      </c>
      <c r="E6" s="14">
        <v>56604.69350649351</v>
      </c>
      <c r="F6" s="15">
        <v>0.36</v>
      </c>
      <c r="G6" s="16">
        <v>0.3</v>
      </c>
      <c r="H6" s="17">
        <v>45998</v>
      </c>
      <c r="I6" s="14">
        <f>IFERROR(IF(LeadData47[[#This Row],[NET Profit %]]&lt;&gt;"",LeadData47[[#This Row],[NET Profit %]]*LeadData47[[#This Row],[Quotations]],""),"")</f>
        <v>20377.689662337663</v>
      </c>
    </row>
    <row r="7" spans="2:9" s="18" customFormat="1" ht="47.1" customHeight="1" thickTop="1" thickBot="1" x14ac:dyDescent="0.35">
      <c r="B7" s="32" t="s">
        <v>40</v>
      </c>
      <c r="C7" s="13" t="s">
        <v>10</v>
      </c>
      <c r="D7" s="13" t="s">
        <v>9</v>
      </c>
      <c r="E7" s="14">
        <v>18851.291518386715</v>
      </c>
      <c r="F7" s="15">
        <v>0.3</v>
      </c>
      <c r="G7" s="16">
        <v>0.2</v>
      </c>
      <c r="H7" s="19">
        <v>46016</v>
      </c>
      <c r="I7" s="14">
        <f>IFERROR(IF(LeadData47[[#This Row],[NET Profit %]]&lt;&gt;"",LeadData47[[#This Row],[NET Profit %]]*LeadData47[[#This Row],[Quotations]],""),"")</f>
        <v>5655.3874555160146</v>
      </c>
    </row>
    <row r="8" spans="2:9" s="24" customFormat="1" ht="50.1" customHeight="1" thickTop="1" thickBot="1" x14ac:dyDescent="0.35">
      <c r="B8" s="32" t="s">
        <v>41</v>
      </c>
      <c r="C8" s="13" t="s">
        <v>11</v>
      </c>
      <c r="D8" s="20" t="s">
        <v>12</v>
      </c>
      <c r="E8" s="14">
        <v>87871.441281138788</v>
      </c>
      <c r="F8" s="21">
        <v>0.3</v>
      </c>
      <c r="G8" s="16">
        <v>0.2</v>
      </c>
      <c r="H8" s="22">
        <v>46019</v>
      </c>
      <c r="I8" s="23">
        <f>IFERROR(IF(LeadData47[[#This Row],[NET Profit %]]&lt;&gt;"",LeadData47[[#This Row],[NET Profit %]]*LeadData47[[#This Row],[Quotations]],""),"")</f>
        <v>26361.432384341635</v>
      </c>
    </row>
    <row r="9" spans="2:9" ht="30" customHeight="1" thickTop="1" thickBot="1" x14ac:dyDescent="0.35">
      <c r="B9" s="32" t="s">
        <v>42</v>
      </c>
      <c r="C9" s="13" t="s">
        <v>13</v>
      </c>
      <c r="D9" s="20" t="s">
        <v>9</v>
      </c>
      <c r="E9" s="23">
        <v>16847.84</v>
      </c>
      <c r="F9" s="21">
        <v>0.31</v>
      </c>
      <c r="G9" s="25">
        <v>0.4</v>
      </c>
      <c r="H9" s="22">
        <v>46071</v>
      </c>
      <c r="I9" s="23">
        <f>IFERROR(IF(LeadData47[[#This Row],[NET Profit %]]&lt;&gt;"",LeadData47[[#This Row],[NET Profit %]]*LeadData47[[#This Row],[Quotations]],""),"")</f>
        <v>5222.8303999999998</v>
      </c>
    </row>
    <row r="10" spans="2:9" ht="30" customHeight="1" thickTop="1" thickBot="1" x14ac:dyDescent="0.35">
      <c r="B10" s="32"/>
      <c r="C10" s="13" t="s">
        <v>14</v>
      </c>
      <c r="D10" s="20" t="s">
        <v>15</v>
      </c>
      <c r="E10" s="23">
        <v>351375.78588663612</v>
      </c>
      <c r="F10" s="21">
        <v>0.32</v>
      </c>
      <c r="G10" s="25">
        <v>0.6</v>
      </c>
      <c r="H10" s="22">
        <v>46106</v>
      </c>
      <c r="I10" s="23">
        <f>IFERROR(IF(LeadData47[[#This Row],[NET Profit %]]&lt;&gt;"",LeadData47[[#This Row],[NET Profit %]]*LeadData47[[#This Row],[Quotations]],""),"")</f>
        <v>112440.25148372356</v>
      </c>
    </row>
    <row r="11" spans="2:9" ht="30" customHeight="1" thickTop="1" thickBot="1" x14ac:dyDescent="0.35">
      <c r="B11" s="32"/>
      <c r="C11" s="13" t="s">
        <v>14</v>
      </c>
      <c r="D11" s="20" t="s">
        <v>15</v>
      </c>
      <c r="E11" s="23">
        <v>226711.14706472136</v>
      </c>
      <c r="F11" s="21">
        <v>0.32</v>
      </c>
      <c r="G11" s="25">
        <v>0.6</v>
      </c>
      <c r="H11" s="22">
        <v>46106</v>
      </c>
      <c r="I11" s="23">
        <f>IFERROR(IF(LeadData47[[#This Row],[NET Profit %]]&lt;&gt;"",LeadData47[[#This Row],[NET Profit %]]*LeadData47[[#This Row],[Quotations]],""),"")</f>
        <v>72547.567060710833</v>
      </c>
    </row>
    <row r="12" spans="2:9" ht="30" customHeight="1" thickTop="1" thickBot="1" x14ac:dyDescent="0.35">
      <c r="B12" s="32" t="s">
        <v>20</v>
      </c>
      <c r="C12" s="13" t="s">
        <v>18</v>
      </c>
      <c r="D12" s="20" t="s">
        <v>9</v>
      </c>
      <c r="E12" s="23">
        <v>8405.4889285714271</v>
      </c>
      <c r="F12" s="21">
        <v>0.32</v>
      </c>
      <c r="G12" s="25">
        <v>0.8</v>
      </c>
      <c r="H12" s="22">
        <v>46271</v>
      </c>
      <c r="I12" s="23">
        <f>IFERROR(IF(LeadData47[[#This Row],[NET Profit %]]&lt;&gt;"",LeadData47[[#This Row],[NET Profit %]]*LeadData47[[#This Row],[Quotations]],""),"")</f>
        <v>2689.7564571428566</v>
      </c>
    </row>
    <row r="13" spans="2:9" ht="30" customHeight="1" thickTop="1" thickBot="1" x14ac:dyDescent="0.35">
      <c r="B13" s="32" t="s">
        <v>21</v>
      </c>
      <c r="C13" s="13" t="s">
        <v>19</v>
      </c>
      <c r="D13" s="20" t="s">
        <v>9</v>
      </c>
      <c r="E13" s="23">
        <v>902898.54395604401</v>
      </c>
      <c r="F13" s="21">
        <v>0.29999999999999993</v>
      </c>
      <c r="G13" s="25">
        <v>0.4</v>
      </c>
      <c r="H13" s="22">
        <v>46260</v>
      </c>
      <c r="I13" s="23">
        <f>IFERROR(IF(LeadData47[[#This Row],[NET Profit %]]&lt;&gt;"",LeadData47[[#This Row],[NET Profit %]]*LeadData47[[#This Row],[Quotations]],""),"")</f>
        <v>270869.56318681315</v>
      </c>
    </row>
    <row r="14" spans="2:9" ht="30" customHeight="1" thickTop="1" thickBot="1" x14ac:dyDescent="0.35">
      <c r="B14" s="32" t="s">
        <v>21</v>
      </c>
      <c r="C14" s="13" t="s">
        <v>19</v>
      </c>
      <c r="D14" s="20" t="s">
        <v>9</v>
      </c>
      <c r="E14" s="23">
        <v>67935.120576923116</v>
      </c>
      <c r="F14" s="21">
        <v>0.39333333333333348</v>
      </c>
      <c r="G14" s="25">
        <v>0.4</v>
      </c>
      <c r="H14" s="22">
        <v>46260</v>
      </c>
      <c r="I14" s="23">
        <f>IFERROR(IF(LeadData47[[#This Row],[NET Profit %]]&lt;&gt;"",LeadData47[[#This Row],[NET Profit %]]*LeadData47[[#This Row],[Quotations]],""),"")</f>
        <v>26721.147426923104</v>
      </c>
    </row>
    <row r="15" spans="2:9" ht="30" customHeight="1" thickTop="1" thickBot="1" x14ac:dyDescent="0.35">
      <c r="B15" s="32" t="s">
        <v>22</v>
      </c>
      <c r="C15" s="13" t="s">
        <v>23</v>
      </c>
      <c r="D15" s="20" t="s">
        <v>9</v>
      </c>
      <c r="E15" s="23">
        <v>14508.691071428575</v>
      </c>
      <c r="F15" s="21">
        <v>0.32153846153846155</v>
      </c>
      <c r="G15" s="25">
        <v>0.4</v>
      </c>
      <c r="H15" s="22">
        <v>46257</v>
      </c>
      <c r="I15" s="23">
        <f>IFERROR(IF(LeadData47[[#This Row],[NET Profit %]]&lt;&gt;"",LeadData47[[#This Row],[NET Profit %]]*LeadData47[[#This Row],[Quotations]],""),"")</f>
        <v>4665.1022060439573</v>
      </c>
    </row>
    <row r="16" spans="2:9" ht="30" customHeight="1" thickTop="1" thickBot="1" x14ac:dyDescent="0.35">
      <c r="B16" s="32" t="s">
        <v>24</v>
      </c>
      <c r="C16" s="13" t="s">
        <v>25</v>
      </c>
      <c r="D16" s="20" t="s">
        <v>9</v>
      </c>
      <c r="E16" s="23">
        <v>34065.57770604395</v>
      </c>
      <c r="F16" s="21">
        <v>0.32152112775911951</v>
      </c>
      <c r="G16" s="25">
        <v>0.5</v>
      </c>
      <c r="H16" s="22">
        <v>46254</v>
      </c>
      <c r="I16" s="23">
        <f>IFERROR(IF(LeadData47[[#This Row],[NET Profit %]]&lt;&gt;"",LeadData47[[#This Row],[NET Profit %]]*LeadData47[[#This Row],[Quotations]],""),"")</f>
        <v>10952.80296181317</v>
      </c>
    </row>
    <row r="17" spans="2:9" ht="30" customHeight="1" thickTop="1" thickBot="1" x14ac:dyDescent="0.35">
      <c r="B17" s="32" t="s">
        <v>26</v>
      </c>
      <c r="C17" s="13" t="s">
        <v>27</v>
      </c>
      <c r="D17" s="20" t="s">
        <v>9</v>
      </c>
      <c r="E17" s="23">
        <v>13524.18</v>
      </c>
      <c r="F17" s="21">
        <v>0.12098211101551787</v>
      </c>
      <c r="G17" s="25">
        <v>0.4</v>
      </c>
      <c r="H17" s="22">
        <v>46251</v>
      </c>
      <c r="I17" s="23">
        <f>IFERROR(IF(LeadData47[[#This Row],[NET Profit %]]&lt;&gt;"",LeadData47[[#This Row],[NET Profit %]]*LeadData47[[#This Row],[Quotations]],""),"")</f>
        <v>1636.1838461538464</v>
      </c>
    </row>
    <row r="18" spans="2:9" ht="30" customHeight="1" thickTop="1" thickBot="1" x14ac:dyDescent="0.35">
      <c r="B18" s="32" t="s">
        <v>28</v>
      </c>
      <c r="C18" s="13" t="s">
        <v>29</v>
      </c>
      <c r="D18" s="20" t="s">
        <v>12</v>
      </c>
      <c r="E18" s="23">
        <v>33878.658673469392</v>
      </c>
      <c r="F18" s="21">
        <v>0.32153846153846161</v>
      </c>
      <c r="G18" s="25">
        <v>0.4</v>
      </c>
      <c r="H18" s="22">
        <v>46250</v>
      </c>
      <c r="I18" s="23">
        <f>IFERROR(IF(LeadData47[[#This Row],[NET Profit %]]&lt;&gt;"",LeadData47[[#This Row],[NET Profit %]]*LeadData47[[#This Row],[Quotations]],""),"")</f>
        <v>10893.291788854007</v>
      </c>
    </row>
    <row r="19" spans="2:9" ht="30" customHeight="1" thickTop="1" thickBot="1" x14ac:dyDescent="0.35">
      <c r="B19" s="32" t="s">
        <v>30</v>
      </c>
      <c r="C19" s="13" t="s">
        <v>31</v>
      </c>
      <c r="D19" s="20" t="s">
        <v>9</v>
      </c>
      <c r="E19" s="23">
        <v>61.64</v>
      </c>
      <c r="F19" s="21">
        <v>0.3325728173513704</v>
      </c>
      <c r="G19" s="25">
        <v>1</v>
      </c>
      <c r="H19" s="22">
        <v>46260</v>
      </c>
      <c r="I19" s="23">
        <f>IFERROR(IF(LeadData47[[#This Row],[NET Profit %]]&lt;&gt;"",LeadData47[[#This Row],[NET Profit %]]*LeadData47[[#This Row],[Quotations]],""),"")</f>
        <v>20.499788461538472</v>
      </c>
    </row>
    <row r="20" spans="2:9" ht="30" customHeight="1" thickTop="1" thickBot="1" x14ac:dyDescent="0.35">
      <c r="B20" s="32" t="s">
        <v>32</v>
      </c>
      <c r="C20" s="13" t="s">
        <v>33</v>
      </c>
      <c r="D20" s="20" t="s">
        <v>12</v>
      </c>
      <c r="E20" s="23">
        <v>157374.61338461543</v>
      </c>
      <c r="F20" s="21">
        <v>0.39539629096123208</v>
      </c>
      <c r="G20" s="25">
        <v>0.4</v>
      </c>
      <c r="H20" s="22">
        <v>46233</v>
      </c>
      <c r="I20" s="23">
        <f>IFERROR(IF(LeadData47[[#This Row],[NET Profit %]]&lt;&gt;"",LeadData47[[#This Row],[NET Profit %]]*LeadData47[[#This Row],[Quotations]],""),"")</f>
        <v>62225.338423734807</v>
      </c>
    </row>
    <row r="21" spans="2:9" ht="30" customHeight="1" thickTop="1" thickBot="1" x14ac:dyDescent="0.35">
      <c r="B21" s="32" t="s">
        <v>34</v>
      </c>
      <c r="C21" s="13" t="s">
        <v>27</v>
      </c>
      <c r="D21" s="20" t="s">
        <v>9</v>
      </c>
      <c r="E21" s="23">
        <v>10928.185714285719</v>
      </c>
      <c r="F21" s="21">
        <v>0.32153846153846194</v>
      </c>
      <c r="G21" s="25">
        <v>0.4</v>
      </c>
      <c r="H21" s="22">
        <v>46231</v>
      </c>
      <c r="I21" s="23">
        <f>IFERROR(IF(LeadData47[[#This Row],[NET Profit %]]&lt;&gt;"",LeadData47[[#This Row],[NET Profit %]]*LeadData47[[#This Row],[Quotations]],""),"")</f>
        <v>3513.832021978028</v>
      </c>
    </row>
    <row r="22" spans="2:9" ht="30" customHeight="1" thickTop="1" thickBot="1" x14ac:dyDescent="0.35">
      <c r="B22" s="32" t="s">
        <v>35</v>
      </c>
      <c r="C22" s="13" t="s">
        <v>36</v>
      </c>
      <c r="D22" s="20" t="s">
        <v>9</v>
      </c>
      <c r="E22" s="23">
        <v>148577.64428571434</v>
      </c>
      <c r="F22" s="21">
        <v>0.32153846153846194</v>
      </c>
      <c r="G22" s="25">
        <v>0.4</v>
      </c>
      <c r="H22" s="34">
        <v>46253</v>
      </c>
      <c r="I22" s="23">
        <f>IFERROR(IF(LeadData47[[#This Row],[NET Profit %]]&lt;&gt;"",LeadData47[[#This Row],[NET Profit %]]*LeadData47[[#This Row],[Quotations]],""),"")</f>
        <v>47773.427162637439</v>
      </c>
    </row>
    <row r="23" spans="2:9" ht="30" customHeight="1" thickTop="1" thickBot="1" x14ac:dyDescent="0.35">
      <c r="B23" s="32" t="s">
        <v>37</v>
      </c>
      <c r="C23" s="13" t="s">
        <v>38</v>
      </c>
      <c r="D23" s="20" t="s">
        <v>9</v>
      </c>
      <c r="E23" s="23">
        <v>5517.3053571428572</v>
      </c>
      <c r="F23" s="21">
        <v>0.32153846153846155</v>
      </c>
      <c r="G23" s="25">
        <v>0.4</v>
      </c>
      <c r="H23" s="22">
        <v>46246</v>
      </c>
      <c r="I23" s="23">
        <f>IFERROR(IF(LeadData47[[#This Row],[NET Profit %]]&lt;&gt;"",LeadData47[[#This Row],[NET Profit %]]*LeadData47[[#This Row],[Quotations]],""),"")</f>
        <v>1774.0258763736265</v>
      </c>
    </row>
    <row r="24" spans="2:9" ht="30" customHeight="1" thickTop="1" thickBot="1" x14ac:dyDescent="0.35">
      <c r="B24" s="32" t="s">
        <v>43</v>
      </c>
      <c r="C24" s="13" t="s">
        <v>44</v>
      </c>
      <c r="D24" s="20" t="s">
        <v>12</v>
      </c>
      <c r="E24" s="23">
        <v>594.00000000000011</v>
      </c>
      <c r="F24" s="21">
        <v>0.3215384615384615</v>
      </c>
      <c r="G24" s="25"/>
      <c r="H24" s="22">
        <v>46215</v>
      </c>
      <c r="I24" s="23">
        <f>IFERROR(IF(LeadData47[[#This Row],[NET Profit %]]&lt;&gt;"",LeadData47[[#This Row],[NET Profit %]]*LeadData47[[#This Row],[Quotations]],""),"")</f>
        <v>190.99384615384616</v>
      </c>
    </row>
    <row r="25" spans="2:9" ht="30" customHeight="1" thickTop="1" thickBot="1" x14ac:dyDescent="0.35">
      <c r="B25" s="32" t="s">
        <v>45</v>
      </c>
      <c r="C25" s="13" t="s">
        <v>46</v>
      </c>
      <c r="D25" s="20" t="s">
        <v>9</v>
      </c>
      <c r="E25" s="23">
        <v>19790.807142857146</v>
      </c>
      <c r="F25" s="21">
        <v>0.32153846153846183</v>
      </c>
      <c r="G25" s="39"/>
      <c r="H25" s="22">
        <v>46214</v>
      </c>
      <c r="I25" s="23">
        <f>IFERROR(IF(LeadData47[[#This Row],[NET Profit %]]&lt;&gt;"",LeadData47[[#This Row],[NET Profit %]]*LeadData47[[#This Row],[Quotations]],""),"")</f>
        <v>6363.5056813186884</v>
      </c>
    </row>
    <row r="26" spans="2:9" ht="30" customHeight="1" thickTop="1" thickBot="1" x14ac:dyDescent="0.35">
      <c r="B26" s="32" t="s">
        <v>47</v>
      </c>
      <c r="C26" s="13"/>
      <c r="D26" s="20"/>
      <c r="E26" s="23"/>
      <c r="F26" s="21"/>
      <c r="G26" s="25"/>
      <c r="H26" s="22"/>
      <c r="I26" s="23" t="str">
        <f>IFERROR(IF(LeadData47[[#This Row],[NET Profit %]]&lt;&gt;"",LeadData47[[#This Row],[NET Profit %]]*LeadData47[[#This Row],[Quotations]],""),"")</f>
        <v/>
      </c>
    </row>
    <row r="27" spans="2:9" ht="30" customHeight="1" thickTop="1" thickBot="1" x14ac:dyDescent="0.35">
      <c r="B27" s="32" t="s">
        <v>48</v>
      </c>
      <c r="C27" s="13"/>
      <c r="D27" s="20"/>
      <c r="E27" s="23"/>
      <c r="F27" s="21"/>
      <c r="G27" s="25"/>
      <c r="H27" s="22"/>
      <c r="I27" s="23" t="str">
        <f>IFERROR(IF(LeadData47[[#This Row],[NET Profit %]]&lt;&gt;"",LeadData47[[#This Row],[NET Profit %]]*LeadData47[[#This Row],[Quotations]],""),"")</f>
        <v/>
      </c>
    </row>
    <row r="28" spans="2:9" ht="30" customHeight="1" thickTop="1" thickBot="1" x14ac:dyDescent="0.35">
      <c r="B28" s="32" t="s">
        <v>49</v>
      </c>
      <c r="C28" s="13"/>
      <c r="D28" s="20"/>
      <c r="E28" s="23"/>
      <c r="F28" s="21"/>
      <c r="G28" s="25"/>
      <c r="H28" s="22"/>
      <c r="I28" s="23" t="str">
        <f>IFERROR(IF(LeadData47[[#This Row],[NET Profit %]]&lt;&gt;"",LeadData47[[#This Row],[NET Profit %]]*LeadData47[[#This Row],[Quotations]],""),"")</f>
        <v/>
      </c>
    </row>
    <row r="29" spans="2:9" ht="30" customHeight="1" thickTop="1" thickBot="1" x14ac:dyDescent="0.35">
      <c r="B29" s="32" t="s">
        <v>50</v>
      </c>
      <c r="C29" s="13"/>
      <c r="D29" s="20"/>
      <c r="E29" s="23"/>
      <c r="F29" s="21"/>
      <c r="G29" s="25"/>
      <c r="H29" s="22"/>
      <c r="I29" s="23" t="str">
        <f>IFERROR(IF(LeadData47[[#This Row],[NET Profit %]]&lt;&gt;"",LeadData47[[#This Row],[NET Profit %]]*LeadData47[[#This Row],[Quotations]],""),"")</f>
        <v/>
      </c>
    </row>
    <row r="30" spans="2:9" ht="30" customHeight="1" thickTop="1" thickBot="1" x14ac:dyDescent="0.35">
      <c r="B30" s="32" t="s">
        <v>51</v>
      </c>
      <c r="C30" s="13" t="s">
        <v>52</v>
      </c>
      <c r="D30" s="20" t="s">
        <v>9</v>
      </c>
      <c r="E30" s="23">
        <v>148.853571428571</v>
      </c>
      <c r="F30" s="21">
        <v>0.32153846153846199</v>
      </c>
      <c r="G30" s="25"/>
      <c r="H30" s="22">
        <v>46160</v>
      </c>
      <c r="I30" s="23">
        <f>IFERROR(IF(LeadData47[[#This Row],[NET Profit %]]&lt;&gt;"",LeadData47[[#This Row],[NET Profit %]]*LeadData47[[#This Row],[Quotations]],""),"")</f>
        <v>47.86214835164828</v>
      </c>
    </row>
    <row r="31" spans="2:9" ht="30" customHeight="1" thickTop="1" thickBot="1" x14ac:dyDescent="0.35">
      <c r="B31" s="32" t="s">
        <v>53</v>
      </c>
      <c r="C31" s="38" t="s">
        <v>54</v>
      </c>
      <c r="D31" s="20" t="s">
        <v>12</v>
      </c>
      <c r="E31" s="23">
        <v>25291.285714285721</v>
      </c>
      <c r="F31" s="21">
        <v>0.32153846153846155</v>
      </c>
      <c r="G31" s="25"/>
      <c r="H31" s="22">
        <v>46175</v>
      </c>
      <c r="I31" s="23">
        <f>IFERROR(IF(LeadData47[[#This Row],[NET Profit %]]&lt;&gt;"",LeadData47[[#This Row],[NET Profit %]]*LeadData47[[#This Row],[Quotations]],""),"")</f>
        <v>8132.1210989011015</v>
      </c>
    </row>
    <row r="32" spans="2:9" ht="30" customHeight="1" thickTop="1" thickBot="1" x14ac:dyDescent="0.35">
      <c r="B32" s="32" t="s">
        <v>63</v>
      </c>
      <c r="C32" s="13" t="s">
        <v>55</v>
      </c>
      <c r="D32" s="20" t="s">
        <v>12</v>
      </c>
      <c r="E32" s="23">
        <v>70087.959183673476</v>
      </c>
      <c r="F32" s="21"/>
      <c r="G32" s="25"/>
      <c r="H32" s="22"/>
      <c r="I32" s="23" t="str">
        <f>IFERROR(IF(LeadData47[[#This Row],[NET Profit %]]&lt;&gt;"",LeadData47[[#This Row],[NET Profit %]]*LeadData47[[#This Row],[Quotations]],""),"")</f>
        <v/>
      </c>
    </row>
    <row r="33" spans="2:9" ht="30" customHeight="1" thickTop="1" thickBot="1" x14ac:dyDescent="0.35">
      <c r="B33" s="32" t="s">
        <v>56</v>
      </c>
      <c r="C33" s="13"/>
      <c r="D33" s="20"/>
      <c r="E33" s="23"/>
      <c r="F33" s="21"/>
      <c r="G33" s="25"/>
      <c r="H33" s="22"/>
      <c r="I33" s="23" t="str">
        <f>IFERROR(IF(LeadData47[[#This Row],[NET Profit %]]&lt;&gt;"",LeadData47[[#This Row],[NET Profit %]]*LeadData47[[#This Row],[Quotations]],""),"")</f>
        <v/>
      </c>
    </row>
    <row r="34" spans="2:9" ht="30" customHeight="1" thickTop="1" thickBot="1" x14ac:dyDescent="0.35">
      <c r="B34" s="32" t="s">
        <v>57</v>
      </c>
      <c r="C34" s="13" t="s">
        <v>58</v>
      </c>
      <c r="D34" s="20" t="s">
        <v>9</v>
      </c>
      <c r="E34" s="23">
        <v>28383.943336092714</v>
      </c>
      <c r="F34" s="21">
        <v>0.30451392121843573</v>
      </c>
      <c r="G34" s="25"/>
      <c r="H34" s="22"/>
      <c r="I34" s="23">
        <f>IFERROR(IF(LeadData47[[#This Row],[NET Profit %]]&lt;&gt;"",LeadData47[[#This Row],[NET Profit %]]*LeadData47[[#This Row],[Quotations]],""),"")</f>
        <v>8643.3058849154804</v>
      </c>
    </row>
    <row r="35" spans="2:9" ht="30" customHeight="1" thickTop="1" thickBot="1" x14ac:dyDescent="0.35">
      <c r="B35" s="32" t="s">
        <v>59</v>
      </c>
      <c r="C35" s="13" t="s">
        <v>61</v>
      </c>
      <c r="D35" s="20"/>
      <c r="E35" s="23"/>
      <c r="F35" s="21"/>
      <c r="G35" s="25"/>
      <c r="H35" s="22"/>
      <c r="I35" s="23" t="str">
        <f>IFERROR(IF(LeadData47[[#This Row],[NET Profit %]]&lt;&gt;"",LeadData47[[#This Row],[NET Profit %]]*LeadData47[[#This Row],[Quotations]],""),"")</f>
        <v/>
      </c>
    </row>
    <row r="36" spans="2:9" ht="30" customHeight="1" thickTop="1" thickBot="1" x14ac:dyDescent="0.35">
      <c r="B36" s="32" t="s">
        <v>60</v>
      </c>
      <c r="C36" s="13" t="s">
        <v>62</v>
      </c>
      <c r="D36" s="20" t="s">
        <v>9</v>
      </c>
      <c r="E36" s="23">
        <v>9075.3106640624974</v>
      </c>
      <c r="F36" s="21">
        <v>0.2</v>
      </c>
      <c r="G36" s="25"/>
      <c r="H36" s="22">
        <v>46064</v>
      </c>
      <c r="I36" s="23">
        <f>IFERROR(IF(LeadData47[[#This Row],[NET Profit %]]&lt;&gt;"",LeadData47[[#This Row],[NET Profit %]]*LeadData47[[#This Row],[Quotations]],""),"")</f>
        <v>1815.0621328124996</v>
      </c>
    </row>
    <row r="37" spans="2:9" ht="30" customHeight="1" thickTop="1" thickBot="1" x14ac:dyDescent="0.35">
      <c r="B37" s="32" t="s">
        <v>65</v>
      </c>
      <c r="C37" s="13" t="s">
        <v>64</v>
      </c>
      <c r="D37" s="20" t="s">
        <v>9</v>
      </c>
      <c r="E37" s="23">
        <v>5098.6314843749988</v>
      </c>
      <c r="F37" s="21">
        <v>0.31076923076923063</v>
      </c>
      <c r="G37" s="25"/>
      <c r="H37" s="22"/>
      <c r="I37" s="23">
        <f>IFERROR(IF(LeadData47[[#This Row],[NET Profit %]]&lt;&gt;"",LeadData47[[#This Row],[NET Profit %]]*LeadData47[[#This Row],[Quotations]],""),"")</f>
        <v>1584.4977843749989</v>
      </c>
    </row>
    <row r="38" spans="2:9" ht="30" customHeight="1" thickTop="1" thickBot="1" x14ac:dyDescent="0.35">
      <c r="B38" s="32" t="s">
        <v>66</v>
      </c>
      <c r="C38" s="13" t="s">
        <v>67</v>
      </c>
      <c r="D38" s="20" t="s">
        <v>12</v>
      </c>
      <c r="E38" s="23">
        <v>717.90468750000002</v>
      </c>
      <c r="F38" s="21">
        <v>0.31076923076923074</v>
      </c>
      <c r="G38" s="25"/>
      <c r="H38" s="22">
        <v>46048</v>
      </c>
      <c r="I38" s="23">
        <f>IFERROR(IF(LeadData47[[#This Row],[NET Profit %]]&lt;&gt;"",LeadData47[[#This Row],[NET Profit %]]*LeadData47[[#This Row],[Quotations]],""),"")</f>
        <v>223.10268749999997</v>
      </c>
    </row>
    <row r="39" spans="2:9" ht="30" customHeight="1" thickTop="1" thickBot="1" x14ac:dyDescent="0.35">
      <c r="B39" s="32" t="s">
        <v>69</v>
      </c>
      <c r="C39" s="13" t="s">
        <v>68</v>
      </c>
      <c r="D39" s="20" t="s">
        <v>9</v>
      </c>
      <c r="E39" s="23">
        <v>87871.441281138788</v>
      </c>
      <c r="F39" s="21">
        <v>0.19191715976331344</v>
      </c>
      <c r="G39" s="25"/>
      <c r="H39" s="22">
        <v>46041</v>
      </c>
      <c r="I39" s="23">
        <f>IFERROR(IF(LeadData47[[#This Row],[NET Profit %]]&lt;&gt;"",LeadData47[[#This Row],[NET Profit %]]*LeadData47[[#This Row],[Quotations]],""),"")</f>
        <v>16864.03743498493</v>
      </c>
    </row>
    <row r="40" spans="2:9" ht="30" customHeight="1" thickTop="1" thickBot="1" x14ac:dyDescent="0.35">
      <c r="B40" s="32" t="s">
        <v>70</v>
      </c>
      <c r="C40" s="13" t="s">
        <v>71</v>
      </c>
      <c r="D40" s="20" t="s">
        <v>9</v>
      </c>
      <c r="E40" s="23">
        <v>177.24330148763181</v>
      </c>
      <c r="F40" s="21">
        <v>0.25737673076923079</v>
      </c>
      <c r="G40" s="25"/>
      <c r="H40" s="22">
        <v>46035</v>
      </c>
      <c r="I40" s="23">
        <f>IFERROR(IF(LeadData47[[#This Row],[NET Profit %]]&lt;&gt;"",LeadData47[[#This Row],[NET Profit %]]*LeadData47[[#This Row],[Quotations]],""),"")</f>
        <v>45.618301487631818</v>
      </c>
    </row>
    <row r="41" spans="2:9" ht="30" customHeight="1" thickTop="1" thickBot="1" x14ac:dyDescent="0.35">
      <c r="B41" s="32" t="s">
        <v>72</v>
      </c>
      <c r="C41" s="13"/>
      <c r="D41" s="20"/>
      <c r="E41" s="23"/>
      <c r="F41" s="21"/>
      <c r="G41" s="25"/>
      <c r="H41" s="22"/>
      <c r="I41" s="23" t="str">
        <f>IFERROR(IF(LeadData47[[#This Row],[NET Profit %]]&lt;&gt;"",LeadData47[[#This Row],[NET Profit %]]*LeadData47[[#This Row],[Quotations]],""),"")</f>
        <v/>
      </c>
    </row>
    <row r="42" spans="2:9" ht="30" customHeight="1" thickTop="1" thickBot="1" x14ac:dyDescent="0.35">
      <c r="B42" s="32" t="s">
        <v>73</v>
      </c>
      <c r="C42" s="13"/>
      <c r="D42" s="20"/>
      <c r="E42" s="23"/>
      <c r="F42" s="21"/>
      <c r="G42" s="25"/>
      <c r="H42" s="22"/>
      <c r="I42" s="23" t="str">
        <f>IFERROR(IF(LeadData47[[#This Row],[NET Profit %]]&lt;&gt;"",LeadData47[[#This Row],[NET Profit %]]*LeadData47[[#This Row],[Quotations]],""),"")</f>
        <v/>
      </c>
    </row>
    <row r="43" spans="2:9" ht="30" customHeight="1" thickTop="1" thickBot="1" x14ac:dyDescent="0.35">
      <c r="B43" s="32" t="s">
        <v>74</v>
      </c>
      <c r="C43" s="13" t="s">
        <v>75</v>
      </c>
      <c r="D43" s="20" t="s">
        <v>12</v>
      </c>
      <c r="E43" s="23">
        <v>35894.047647094791</v>
      </c>
      <c r="F43" s="21">
        <v>0.28000000000000003</v>
      </c>
      <c r="G43" s="25"/>
      <c r="H43" s="22">
        <v>46084</v>
      </c>
      <c r="I43" s="23">
        <f>IFERROR(IF(LeadData47[[#This Row],[NET Profit %]]&lt;&gt;"",LeadData47[[#This Row],[NET Profit %]]*LeadData47[[#This Row],[Quotations]],""),"")</f>
        <v>10050.333341186542</v>
      </c>
    </row>
    <row r="44" spans="2:9" ht="30" customHeight="1" thickTop="1" thickBot="1" x14ac:dyDescent="0.35">
      <c r="B44" s="32"/>
      <c r="C44" s="35"/>
      <c r="D44" s="35" t="s">
        <v>16</v>
      </c>
      <c r="E44" s="36">
        <f>SUBTOTAL(109,LeadData47[Quotations])</f>
        <v>2439069.2769256113</v>
      </c>
      <c r="F44" s="37"/>
      <c r="G44" s="37"/>
      <c r="H44" s="35" t="s">
        <v>16</v>
      </c>
      <c r="I44" s="36">
        <f>SUBTOTAL(109,LeadData47[TW Net Profit Value])</f>
        <v>740300.56993554661</v>
      </c>
    </row>
    <row r="45" spans="2:9" ht="30" customHeight="1" thickTop="1" thickBot="1" x14ac:dyDescent="0.35">
      <c r="B45" s="32"/>
      <c r="C45" s="40" t="s">
        <v>17</v>
      </c>
      <c r="D45" s="41"/>
      <c r="E45" s="26">
        <f>LeadData47[[#Totals],[Quotations]]*61</f>
        <v>148783225.89246228</v>
      </c>
      <c r="F45" s="27"/>
      <c r="G45" s="42" t="s">
        <v>17</v>
      </c>
      <c r="H45" s="41"/>
      <c r="I45" s="26">
        <f>LeadData47[[#Totals],[TW Net Profit Value]]*56.2321</f>
        <v>41628655.678672649</v>
      </c>
    </row>
    <row r="46" spans="2:9" ht="30" customHeight="1" thickTop="1" x14ac:dyDescent="0.3"/>
  </sheetData>
  <mergeCells count="2">
    <mergeCell ref="C45:D45"/>
    <mergeCell ref="G45:H45"/>
  </mergeCells>
  <dataValidations count="8">
    <dataValidation type="list" errorStyle="warning" allowBlank="1" showInputMessage="1" showErrorMessage="1" error="Select a month from the list. Select CANCEL, then press ALT+DOWN ARROW to open drop-down list and ENTER to make selection" sqref="G26:G39 G6:G24">
      <formula1>"January, February, March, April, May, June, July, August, September, October, November, December"</formula1>
    </dataValidation>
    <dataValidation allowBlank="1" showInputMessage="1" showErrorMessage="1" prompt="Select Forecast Close month in this column under this heading.  Press ALT+DOWN ARROW to open drop-down list, then ENTER to make selection" sqref="G5:H5 H6:H21 H23:H32"/>
    <dataValidation allowBlank="1" showInputMessage="1" showErrorMessage="1" prompt="Enter percent Chance of Sale in this column under this heading" sqref="F5 I5"/>
    <dataValidation allowBlank="1" showInputMessage="1" showErrorMessage="1" prompt="Enter Potential Opportunity in this column under this heading" sqref="E5"/>
    <dataValidation allowBlank="1" showInputMessage="1" showErrorMessage="1" prompt="Enter Lead Type in this column under this heading" sqref="D5"/>
    <dataValidation allowBlank="1" showInputMessage="1" showErrorMessage="1" prompt="Enter Lead Name in this column under this heading" sqref="C5"/>
    <dataValidation allowBlank="1" showInputMessage="1" showErrorMessage="1" prompt="Enter Date in this cell" sqref="I3"/>
    <dataValidation allowBlank="1" showInputMessage="1" showErrorMessage="1" prompt="Track Sales Leads in this workbook. Enter Sales Leads in this worksheet.  Weighted Forecast for each lead is automatically updated" sqref="A1:B1"/>
  </dataValidations>
  <printOptions horizontalCentered="1"/>
  <pageMargins left="0.4" right="0.4" top="0.43928571428571428" bottom="1.0249999999999999" header="0.3" footer="0.69960317460317456"/>
  <pageSetup scale="76" fitToHeight="0" orientation="landscape" r:id="rId1"/>
  <headerFooter differentFirst="1">
    <oddFooter>Page &amp;P of &amp;N</oddFooter>
    <firstFooter>&amp;L&amp;12       Prepared By: Eng. Albear Emil</first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KLS Pipeline</vt:lpstr>
      <vt:lpstr>'KLS Pipeline'!_FilterDatabase</vt:lpstr>
      <vt:lpstr>'KLS Pipeline'!Print_Area</vt:lpstr>
      <vt:lpstr>'KLS Pipeline'!Print_Titles</vt:lpstr>
      <vt:lpstr>'KLS Pipeline'!Title1</vt:lpstr>
      <vt:lpstr>'KLS Pipeline'!TrackerDate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Albear Emil</dc:creator>
  <cp:lastModifiedBy>DELL</cp:lastModifiedBy>
  <dcterms:created xsi:type="dcterms:W3CDTF">2026-09-07T07:12:29Z</dcterms:created>
  <dcterms:modified xsi:type="dcterms:W3CDTF">2026-09-27T07:50:06Z</dcterms:modified>
</cp:coreProperties>
</file>